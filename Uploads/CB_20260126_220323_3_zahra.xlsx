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ahra Nabila Adhwa\Downloads\"/>
    </mc:Choice>
  </mc:AlternateContent>
  <xr:revisionPtr revIDLastSave="0" documentId="8_{974FD2C6-D573-44A8-823C-AD5D310C1A9F}" xr6:coauthVersionLast="45" xr6:coauthVersionMax="45" xr10:uidLastSave="{00000000-0000-0000-0000-000000000000}"/>
  <bookViews>
    <workbookView xWindow="-108" yWindow="-108" windowWidth="23256" windowHeight="12456" activeTab="1" xr2:uid="{00000000-000D-0000-FFFF-FFFF00000000}"/>
  </bookViews>
  <sheets>
    <sheet name="Lembar1" sheetId="1" r:id="rId1"/>
    <sheet name="Sheet1" sheetId="2" r:id="rId2"/>
  </sheets>
  <definedNames>
    <definedName name="_xlnm.Print_Area" localSheetId="0">Lembar1!$A$1:$F$54</definedName>
    <definedName name="_xlnm.Print_Area" localSheetId="1">Sheet1!$A$1:$E$55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2" l="1"/>
  <c r="E16" i="2" s="1"/>
  <c r="E14" i="2"/>
  <c r="E17" i="1"/>
  <c r="E18" i="1"/>
  <c r="E19" i="1"/>
  <c r="E20" i="1"/>
  <c r="E21" i="1"/>
  <c r="E22" i="1"/>
  <c r="E23" i="1"/>
  <c r="E15" i="1"/>
  <c r="E14" i="1"/>
  <c r="E16" i="1"/>
  <c r="E24" i="1" l="1"/>
</calcChain>
</file>

<file path=xl/sharedStrings.xml><?xml version="1.0" encoding="utf-8"?>
<sst xmlns="http://schemas.openxmlformats.org/spreadsheetml/2006/main" count="57" uniqueCount="39">
  <si>
    <t>No</t>
  </si>
  <si>
    <t>Uraian</t>
  </si>
  <si>
    <t>Jumlah</t>
  </si>
  <si>
    <t>Harga satuan</t>
  </si>
  <si>
    <t>Harga total</t>
  </si>
  <si>
    <t>Banner</t>
  </si>
  <si>
    <t>Konsumsi panitia</t>
  </si>
  <si>
    <t>Konsumsi tamu undangan</t>
  </si>
  <si>
    <t>Gedebong</t>
  </si>
  <si>
    <t>Kertas jagung</t>
  </si>
  <si>
    <t>Total</t>
  </si>
  <si>
    <t xml:space="preserve">RANCANGAN ANGGARAN BELANJA ( RAB ) </t>
  </si>
  <si>
    <t xml:space="preserve">Acara Peringatan Maulid Nabi </t>
  </si>
  <si>
    <t>Pemateri</t>
  </si>
  <si>
    <t>Mengetahui,</t>
  </si>
  <si>
    <t>(Nadhifah Karima)</t>
  </si>
  <si>
    <t>Bendahara Panitia</t>
  </si>
  <si>
    <t>Ketua Rohis</t>
  </si>
  <si>
    <t>Badung, 23 Agustus 2025</t>
  </si>
  <si>
    <t>(Zahra Nabila Adhwa)</t>
  </si>
  <si>
    <t>Pembina Rohis</t>
  </si>
  <si>
    <t>WAKA Kesiswaan</t>
  </si>
  <si>
    <t>Mengetahui dan Menyetujui,</t>
  </si>
  <si>
    <t xml:space="preserve"> KTU SMK TI Bali Global Badung</t>
  </si>
  <si>
    <t>Kepala SMK TI Bali Global Badung</t>
  </si>
  <si>
    <t>(Samsul Arifin, S.Pd)</t>
  </si>
  <si>
    <t>(Ida Ayu Cempaka Putri, S.Pd)</t>
  </si>
  <si>
    <t>(Putu Agus Purnama, A.P, SE.,MM)</t>
  </si>
  <si>
    <t>(I Made Indra Aribawa, S.H)</t>
  </si>
  <si>
    <t>Bambu ( /Pack )</t>
  </si>
  <si>
    <t>Telur ( /Krat )</t>
  </si>
  <si>
    <t>Jajan ( /Box )</t>
  </si>
  <si>
    <t xml:space="preserve">Air Galon </t>
  </si>
  <si>
    <t xml:space="preserve">Toskafesti ( Lomba Kaligrafi ) </t>
  </si>
  <si>
    <t xml:space="preserve">Juri </t>
  </si>
  <si>
    <t xml:space="preserve">Kertas </t>
  </si>
  <si>
    <t xml:space="preserve">Total </t>
  </si>
  <si>
    <t>( Namira Zahra Ramdhani )</t>
  </si>
  <si>
    <t>Badung, 9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</si>
</sst>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]* #,##0_-;\-[$Rp]* #,##0_-;_-[$Rp]* &quot;-&quot;_-;_-@_-" x16r2:formatCode16="_-[$Rp-jv-Latn-ID]* #,##0_-;\-[$Rp-jv-Latn-ID]* #,##0_-;_-[$Rp-jv-Latn-ID]* &quot;-&quot;_-;_-@_-"/>
  </numFmts>
  <fonts count="6">
    <font>
      <sz val="11"/>
      <color theme="1"/>
      <name val="Aptos Narrow"/>
      <family val="2"/>
      <charset val="1"/>
      <scheme val="minor"/>
    </font>
    <font>
      <sz val="6"/>
      <name val="Yu Gothic"/>
      <family val="2"/>
      <charset val="128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3" fontId="3" fillId="0" borderId="1" xfId="0" applyNumberFormat="1" applyFont="1" applyBorder="1"/>
    <xf numFmtId="0" fontId="4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70347</xdr:rowOff>
    </xdr:from>
    <xdr:to>
      <xdr:col>4</xdr:col>
      <xdr:colOff>1924050</xdr:colOff>
      <xdr:row>7</xdr:row>
      <xdr:rowOff>152399</xdr:rowOff>
    </xdr:to>
    <xdr:pic>
      <xdr:nvPicPr>
        <xdr:cNvPr id="6" name="Gambar 5">
          <a:extLst>
            <a:ext uri="{FF2B5EF4-FFF2-40B4-BE49-F238E27FC236}">
              <a16:creationId xmlns:a16="http://schemas.microsoft.com/office/drawing/2014/main" id="{1E352697-B548-32EE-5542-617274ED6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0347"/>
          <a:ext cx="7258050" cy="14822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149671</xdr:colOff>
      <xdr:row>0</xdr:row>
      <xdr:rowOff>0</xdr:rowOff>
    </xdr:from>
    <xdr:to>
      <xdr:col>4</xdr:col>
      <xdr:colOff>2023428</xdr:colOff>
      <xdr:row>7</xdr:row>
      <xdr:rowOff>82892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E59184-5D08-4E93-009D-8BA4D6E0D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71" y="0"/>
          <a:ext cx="7289998" cy="145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6D4A-CF55-5442-8489-A0F2E95DDE3A}">
  <sheetPr>
    <pageSetUpPr fitToPage="1"/>
  </sheetPr>
  <dimension ref="A9:F50"/>
  <sheetViews>
    <sheetView topLeftCell="A22" zoomScale="43" zoomScaleNormal="100" zoomScaleSheetLayoutView="100" workbookViewId="0">
      <selection sqref="A1:F54"/>
    </sheetView>
  </sheetViews>
  <sheetFormatPr defaultColWidth="9" defaultRowHeight="15.6"/>
  <cols>
    <col min="1" max="1" width="9" style="1"/>
    <col min="2" max="2" width="24.8984375" style="1" customWidth="1"/>
    <col min="3" max="3" width="18.796875" style="1" customWidth="1"/>
    <col min="4" max="4" width="23" style="1" customWidth="1"/>
    <col min="5" max="5" width="30" style="1" customWidth="1"/>
    <col min="6" max="16384" width="9" style="1"/>
  </cols>
  <sheetData>
    <row r="9" spans="1:5" ht="20.399999999999999">
      <c r="A9" s="18" t="s">
        <v>11</v>
      </c>
      <c r="B9" s="18"/>
      <c r="C9" s="18"/>
      <c r="D9" s="18"/>
      <c r="E9" s="18"/>
    </row>
    <row r="10" spans="1:5" ht="20.399999999999999">
      <c r="A10" s="18" t="s">
        <v>12</v>
      </c>
      <c r="B10" s="18"/>
      <c r="C10" s="18"/>
      <c r="D10" s="18"/>
      <c r="E10" s="18"/>
    </row>
    <row r="13" spans="1:5" ht="17.399999999999999">
      <c r="A13" s="12" t="s">
        <v>0</v>
      </c>
      <c r="B13" s="12" t="s">
        <v>1</v>
      </c>
      <c r="C13" s="12" t="s">
        <v>2</v>
      </c>
      <c r="D13" s="12" t="s">
        <v>3</v>
      </c>
      <c r="E13" s="12" t="s">
        <v>4</v>
      </c>
    </row>
    <row r="14" spans="1:5">
      <c r="A14" s="4">
        <v>1</v>
      </c>
      <c r="B14" s="5" t="s">
        <v>30</v>
      </c>
      <c r="C14" s="4">
        <v>8</v>
      </c>
      <c r="D14" s="6">
        <v>48000</v>
      </c>
      <c r="E14" s="7">
        <f>C14*D14</f>
        <v>384000</v>
      </c>
    </row>
    <row r="15" spans="1:5">
      <c r="A15" s="4">
        <v>2</v>
      </c>
      <c r="B15" s="5" t="s">
        <v>8</v>
      </c>
      <c r="C15" s="4">
        <v>6</v>
      </c>
      <c r="D15" s="6">
        <v>50000</v>
      </c>
      <c r="E15" s="7">
        <f>C15*D15</f>
        <v>300000</v>
      </c>
    </row>
    <row r="16" spans="1:5">
      <c r="A16" s="4">
        <v>3</v>
      </c>
      <c r="B16" s="5" t="s">
        <v>29</v>
      </c>
      <c r="C16" s="4">
        <v>6</v>
      </c>
      <c r="D16" s="6">
        <v>19500</v>
      </c>
      <c r="E16" s="7">
        <f>C16*D16</f>
        <v>117000</v>
      </c>
    </row>
    <row r="17" spans="1:5">
      <c r="A17" s="4">
        <v>4</v>
      </c>
      <c r="B17" s="5" t="s">
        <v>32</v>
      </c>
      <c r="C17" s="4">
        <v>1</v>
      </c>
      <c r="D17" s="6">
        <v>20000</v>
      </c>
      <c r="E17" s="7">
        <f t="shared" ref="E17:E23" si="0">C17*D17</f>
        <v>20000</v>
      </c>
    </row>
    <row r="18" spans="1:5">
      <c r="A18" s="4">
        <v>5</v>
      </c>
      <c r="B18" s="5" t="s">
        <v>9</v>
      </c>
      <c r="C18" s="4">
        <v>15</v>
      </c>
      <c r="D18" s="6">
        <v>3000</v>
      </c>
      <c r="E18" s="7">
        <f t="shared" si="0"/>
        <v>45000</v>
      </c>
    </row>
    <row r="19" spans="1:5">
      <c r="A19" s="4">
        <v>6</v>
      </c>
      <c r="B19" s="5" t="s">
        <v>5</v>
      </c>
      <c r="C19" s="4">
        <v>1</v>
      </c>
      <c r="D19" s="6">
        <v>80000</v>
      </c>
      <c r="E19" s="7">
        <f t="shared" si="0"/>
        <v>80000</v>
      </c>
    </row>
    <row r="20" spans="1:5" s="2" customFormat="1">
      <c r="A20" s="4">
        <v>7</v>
      </c>
      <c r="B20" s="5" t="s">
        <v>6</v>
      </c>
      <c r="C20" s="4">
        <v>20</v>
      </c>
      <c r="D20" s="6">
        <v>10000</v>
      </c>
      <c r="E20" s="7">
        <f t="shared" si="0"/>
        <v>200000</v>
      </c>
    </row>
    <row r="21" spans="1:5" s="2" customFormat="1">
      <c r="A21" s="4">
        <v>8</v>
      </c>
      <c r="B21" s="5" t="s">
        <v>31</v>
      </c>
      <c r="C21" s="4">
        <v>17</v>
      </c>
      <c r="D21" s="6">
        <v>26000</v>
      </c>
      <c r="E21" s="7">
        <f t="shared" si="0"/>
        <v>442000</v>
      </c>
    </row>
    <row r="22" spans="1:5" s="2" customFormat="1">
      <c r="A22" s="4">
        <v>9</v>
      </c>
      <c r="B22" s="5" t="s">
        <v>13</v>
      </c>
      <c r="C22" s="4">
        <v>1</v>
      </c>
      <c r="D22" s="6">
        <v>200000</v>
      </c>
      <c r="E22" s="7">
        <f t="shared" si="0"/>
        <v>200000</v>
      </c>
    </row>
    <row r="23" spans="1:5">
      <c r="A23" s="4">
        <v>10</v>
      </c>
      <c r="B23" s="5" t="s">
        <v>7</v>
      </c>
      <c r="C23" s="4">
        <v>25</v>
      </c>
      <c r="D23" s="6">
        <v>8000</v>
      </c>
      <c r="E23" s="7">
        <f t="shared" si="0"/>
        <v>200000</v>
      </c>
    </row>
    <row r="24" spans="1:5">
      <c r="A24" s="19" t="s">
        <v>10</v>
      </c>
      <c r="B24" s="20"/>
      <c r="C24" s="20"/>
      <c r="D24" s="21"/>
      <c r="E24" s="11">
        <f>SUM(E14:E23)</f>
        <v>1988000</v>
      </c>
    </row>
    <row r="25" spans="1:5">
      <c r="A25" s="3"/>
      <c r="B25" s="2"/>
      <c r="C25" s="2"/>
      <c r="D25" s="8"/>
      <c r="E25" s="9"/>
    </row>
    <row r="26" spans="1:5">
      <c r="D26" s="17" t="s">
        <v>18</v>
      </c>
      <c r="E26" s="17"/>
    </row>
    <row r="27" spans="1:5">
      <c r="D27" s="10"/>
      <c r="E27" s="10"/>
    </row>
    <row r="28" spans="1:5">
      <c r="A28" s="16" t="s">
        <v>14</v>
      </c>
      <c r="B28" s="16"/>
      <c r="C28" s="16"/>
      <c r="D28" s="16"/>
      <c r="E28" s="16"/>
    </row>
    <row r="30" spans="1:5" s="3" customFormat="1">
      <c r="B30" s="3" t="s">
        <v>17</v>
      </c>
      <c r="E30" s="3" t="s">
        <v>16</v>
      </c>
    </row>
    <row r="31" spans="1:5" s="3" customFormat="1"/>
    <row r="34" spans="1:6" s="2" customFormat="1">
      <c r="B34" s="2" t="s">
        <v>19</v>
      </c>
      <c r="E34" s="2" t="s">
        <v>15</v>
      </c>
    </row>
    <row r="36" spans="1:6">
      <c r="A36" s="16" t="s">
        <v>14</v>
      </c>
      <c r="B36" s="16"/>
      <c r="C36" s="16"/>
      <c r="D36" s="16"/>
      <c r="E36" s="16"/>
      <c r="F36" s="2"/>
    </row>
    <row r="38" spans="1:6" s="3" customFormat="1">
      <c r="B38" s="3" t="s">
        <v>21</v>
      </c>
      <c r="E38" s="3" t="s">
        <v>20</v>
      </c>
    </row>
    <row r="42" spans="1:6" s="2" customFormat="1">
      <c r="B42" s="2" t="s">
        <v>26</v>
      </c>
      <c r="E42" s="2" t="s">
        <v>25</v>
      </c>
    </row>
    <row r="44" spans="1:6">
      <c r="A44" s="16" t="s">
        <v>22</v>
      </c>
      <c r="B44" s="16"/>
      <c r="C44" s="16"/>
      <c r="D44" s="16"/>
      <c r="E44" s="16"/>
      <c r="F44" s="2"/>
    </row>
    <row r="46" spans="1:6" s="3" customFormat="1">
      <c r="B46" s="3" t="s">
        <v>24</v>
      </c>
      <c r="E46" s="3" t="s">
        <v>23</v>
      </c>
    </row>
    <row r="50" spans="2:5" s="2" customFormat="1">
      <c r="B50" s="2" t="s">
        <v>28</v>
      </c>
      <c r="E50" s="2" t="s">
        <v>27</v>
      </c>
    </row>
  </sheetData>
  <mergeCells count="7">
    <mergeCell ref="A28:E28"/>
    <mergeCell ref="D26:E26"/>
    <mergeCell ref="A36:E36"/>
    <mergeCell ref="A44:E44"/>
    <mergeCell ref="A9:E9"/>
    <mergeCell ref="A10:E10"/>
    <mergeCell ref="A24:D24"/>
  </mergeCells>
  <phoneticPr fontId="1" alignment="center"/>
  <printOptions horizontalCentered="1"/>
  <pageMargins left="0.70866141732283472" right="0.70866141732283472" top="0.74803149606299213" bottom="0.74803149606299213" header="0.31496062992125984" footer="0.31496062992125984"/>
  <pageSetup paperSize="9" scale="76" fitToHeight="0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A0C9-99AE-454A-B395-A0099415F666}">
  <sheetPr>
    <pageSetUpPr fitToPage="1"/>
  </sheetPr>
  <dimension ref="A9:F56"/>
  <sheetViews>
    <sheetView tabSelected="1" zoomScale="76" zoomScaleNormal="168" workbookViewId="0">
      <selection activeCell="J18" sqref="J18"/>
    </sheetView>
  </sheetViews>
  <sheetFormatPr defaultColWidth="9" defaultRowHeight="15.6"/>
  <cols>
    <col min="1" max="1" width="9" style="1"/>
    <col min="2" max="2" width="24.8984375" style="1" customWidth="1"/>
    <col min="3" max="3" width="18.796875" style="1" customWidth="1"/>
    <col min="4" max="4" width="23" style="1" customWidth="1"/>
    <col min="5" max="5" width="30" style="1" customWidth="1"/>
    <col min="6" max="16384" width="9" style="1"/>
  </cols>
  <sheetData>
    <row r="9" spans="1:5" ht="20.399999999999999">
      <c r="A9" s="18" t="s">
        <v>11</v>
      </c>
      <c r="B9" s="18"/>
      <c r="C9" s="18"/>
      <c r="D9" s="18"/>
      <c r="E9" s="18"/>
    </row>
    <row r="10" spans="1:5" ht="20.399999999999999">
      <c r="A10" s="18" t="s">
        <v>33</v>
      </c>
      <c r="B10" s="18"/>
      <c r="C10" s="18"/>
      <c r="D10" s="18"/>
      <c r="E10" s="18"/>
    </row>
    <row r="13" spans="1:5" ht="17.399999999999999">
      <c r="A13" s="12" t="s">
        <v>0</v>
      </c>
      <c r="B13" s="12" t="s">
        <v>1</v>
      </c>
      <c r="C13" s="12" t="s">
        <v>2</v>
      </c>
      <c r="D13" s="12" t="s">
        <v>3</v>
      </c>
      <c r="E13" s="12" t="s">
        <v>4</v>
      </c>
    </row>
    <row r="14" spans="1:5">
      <c r="A14" s="4">
        <v>1</v>
      </c>
      <c r="B14" s="5" t="s">
        <v>34</v>
      </c>
      <c r="C14" s="4">
        <v>1</v>
      </c>
      <c r="D14" s="6">
        <v>100000</v>
      </c>
      <c r="E14" s="7">
        <f>C14*D14</f>
        <v>100000</v>
      </c>
    </row>
    <row r="15" spans="1:5">
      <c r="A15" s="4">
        <v>2</v>
      </c>
      <c r="B15" s="5" t="s">
        <v>35</v>
      </c>
      <c r="C15" s="4">
        <v>50</v>
      </c>
      <c r="D15" s="6">
        <v>4000</v>
      </c>
      <c r="E15" s="7">
        <f t="shared" ref="E15" si="0">C15*D15</f>
        <v>200000</v>
      </c>
    </row>
    <row r="16" spans="1:5">
      <c r="A16" s="19" t="s">
        <v>36</v>
      </c>
      <c r="B16" s="23"/>
      <c r="C16" s="23"/>
      <c r="D16" s="24"/>
      <c r="E16" s="13">
        <f>E14+E15</f>
        <v>300000</v>
      </c>
    </row>
    <row r="17" spans="1:5" s="2" customFormat="1"/>
    <row r="18" spans="1:5" s="2" customFormat="1">
      <c r="E18" s="2" t="s">
        <v>38</v>
      </c>
    </row>
    <row r="19" spans="1:5" s="2" customFormat="1"/>
    <row r="20" spans="1:5">
      <c r="B20" s="14" t="s">
        <v>17</v>
      </c>
      <c r="E20" s="3" t="s">
        <v>16</v>
      </c>
    </row>
    <row r="22" spans="1:5" s="2" customFormat="1"/>
    <row r="23" spans="1:5" s="2" customFormat="1"/>
    <row r="24" spans="1:5" s="2" customFormat="1">
      <c r="B24" s="2" t="s">
        <v>19</v>
      </c>
      <c r="E24" s="2" t="s">
        <v>37</v>
      </c>
    </row>
    <row r="25" spans="1:5" s="2" customFormat="1"/>
    <row r="26" spans="1:5" s="2" customFormat="1">
      <c r="A26" s="16" t="s">
        <v>14</v>
      </c>
      <c r="B26" s="16"/>
      <c r="C26" s="16"/>
      <c r="D26" s="16"/>
      <c r="E26" s="16"/>
    </row>
    <row r="27" spans="1:5" s="2" customFormat="1"/>
    <row r="28" spans="1:5">
      <c r="B28" s="3" t="s">
        <v>21</v>
      </c>
      <c r="E28" s="14" t="s">
        <v>20</v>
      </c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2" spans="1:5">
      <c r="B32" s="1" t="s">
        <v>26</v>
      </c>
      <c r="E32" s="15" t="s">
        <v>25</v>
      </c>
    </row>
    <row r="33" spans="1:6">
      <c r="A33" s="2"/>
      <c r="B33" s="2"/>
      <c r="C33" s="2"/>
      <c r="D33" s="2"/>
      <c r="E33" s="2"/>
    </row>
    <row r="34" spans="1:6" s="3" customFormat="1">
      <c r="A34" s="16" t="s">
        <v>22</v>
      </c>
      <c r="B34" s="16"/>
      <c r="C34" s="16"/>
      <c r="D34" s="16"/>
      <c r="E34" s="16"/>
    </row>
    <row r="35" spans="1:6" s="3" customFormat="1">
      <c r="A35" s="2"/>
      <c r="B35" s="2"/>
      <c r="C35" s="2"/>
      <c r="D35" s="2"/>
      <c r="E35" s="2"/>
    </row>
    <row r="36" spans="1:6">
      <c r="A36" s="22" t="s">
        <v>24</v>
      </c>
      <c r="B36" s="16"/>
      <c r="C36" s="16"/>
      <c r="D36" s="16"/>
      <c r="E36" s="16"/>
    </row>
    <row r="37" spans="1:6">
      <c r="A37" s="3"/>
      <c r="B37" s="3"/>
      <c r="C37" s="3"/>
      <c r="D37" s="3"/>
      <c r="E37" s="3"/>
    </row>
    <row r="38" spans="1:6" s="2" customFormat="1">
      <c r="A38" s="1"/>
      <c r="B38" s="1"/>
      <c r="C38" s="1"/>
      <c r="D38" s="1"/>
      <c r="E38" s="1"/>
    </row>
    <row r="40" spans="1:6">
      <c r="A40" s="16" t="s">
        <v>28</v>
      </c>
      <c r="B40" s="16"/>
      <c r="C40" s="16"/>
      <c r="D40" s="16"/>
      <c r="E40" s="16"/>
      <c r="F40" s="2"/>
    </row>
    <row r="41" spans="1:6">
      <c r="A41" s="2"/>
      <c r="B41" s="2"/>
      <c r="C41" s="2"/>
      <c r="D41" s="2"/>
      <c r="E41" s="2"/>
    </row>
    <row r="42" spans="1:6" s="3" customFormat="1">
      <c r="A42" s="1"/>
      <c r="B42" s="1"/>
      <c r="C42" s="1"/>
      <c r="D42" s="1"/>
      <c r="E42" s="1"/>
    </row>
    <row r="43" spans="1:6">
      <c r="A43" s="2"/>
      <c r="B43" s="2"/>
      <c r="C43" s="2"/>
      <c r="D43" s="2"/>
      <c r="E43" s="2"/>
    </row>
    <row r="45" spans="1:6">
      <c r="A45" s="22"/>
      <c r="B45" s="22"/>
      <c r="C45" s="22"/>
      <c r="D45" s="22"/>
      <c r="E45" s="22"/>
    </row>
    <row r="46" spans="1:6" s="2" customFormat="1">
      <c r="A46" s="1"/>
      <c r="B46" s="1"/>
      <c r="C46" s="1"/>
      <c r="D46" s="1"/>
      <c r="E46" s="1"/>
    </row>
    <row r="47" spans="1:6">
      <c r="C47" s="3"/>
      <c r="D47" s="3"/>
    </row>
    <row r="48" spans="1:6">
      <c r="F48" s="2"/>
    </row>
    <row r="49" spans="1:5">
      <c r="A49" s="16"/>
      <c r="B49" s="16"/>
      <c r="C49" s="16"/>
      <c r="D49" s="16"/>
      <c r="E49" s="16"/>
    </row>
    <row r="50" spans="1:5" s="3" customFormat="1" ht="15.45" customHeight="1"/>
    <row r="54" spans="1:5" s="2" customFormat="1" ht="21.45" customHeight="1"/>
    <row r="56" spans="1:5">
      <c r="C56" s="2"/>
      <c r="D56" s="2"/>
    </row>
  </sheetData>
  <mergeCells count="9">
    <mergeCell ref="A49:E49"/>
    <mergeCell ref="A9:E9"/>
    <mergeCell ref="A10:E10"/>
    <mergeCell ref="A45:E45"/>
    <mergeCell ref="A16:D16"/>
    <mergeCell ref="A26:E26"/>
    <mergeCell ref="A34:E34"/>
    <mergeCell ref="A36:E36"/>
    <mergeCell ref="A40:E40"/>
  </mergeCells>
  <pageMargins left="0.7" right="0.7" top="0.75" bottom="0.75" header="0.3" footer="0.3"/>
  <pageSetup paperSize="9" scale="76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Lembar1</vt:lpstr>
      <vt:lpstr>Sheet1</vt:lpstr>
      <vt:lpstr>Lembar1!Print_Area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Nadhifah karima</dc:creator>
  <cp:lastModifiedBy>Zahra Nabila Adhwa</cp:lastModifiedBy>
  <cp:lastPrinted>2026-01-09T15:58:34Z</cp:lastPrinted>
  <dcterms:created xsi:type="dcterms:W3CDTF">2025-08-22T15:08:10Z</dcterms:created>
  <dcterms:modified xsi:type="dcterms:W3CDTF">2026-01-09T15:58:41Z</dcterms:modified>
</cp:coreProperties>
</file>